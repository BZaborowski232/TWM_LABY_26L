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iotr\Desktop\STUDIA\sem4\TWM\TWM_LABY_26L\LAB1\ZALACZNIKI\"/>
    </mc:Choice>
  </mc:AlternateContent>
  <xr:revisionPtr revIDLastSave="0" documentId="13_ncr:1_{FEFA86B0-656E-D548-B955-CDA808B95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B16" i="1"/>
  <c r="B22" i="1"/>
  <c r="B19" i="1"/>
</calcChain>
</file>

<file path=xl/sharedStrings.xml><?xml version="1.0" encoding="utf-8"?>
<sst xmlns="http://schemas.openxmlformats.org/spreadsheetml/2006/main" count="32" uniqueCount="31">
  <si>
    <t>Zespół</t>
  </si>
  <si>
    <t>Imię i nazwisko</t>
  </si>
  <si>
    <t>Bartosz Zaborowski</t>
  </si>
  <si>
    <t>Piotr Walczak</t>
  </si>
  <si>
    <t>Informacje o kamerze</t>
  </si>
  <si>
    <t>Producent i model aparatu/telefonu</t>
  </si>
  <si>
    <t>Apple IPhone 16 Pro</t>
  </si>
  <si>
    <t>Rozdzielczość zdjęcia [WxH px]</t>
  </si>
  <si>
    <t>focal_x [px]</t>
  </si>
  <si>
    <t>focal_y [px]</t>
  </si>
  <si>
    <t>principal_x [px]</t>
  </si>
  <si>
    <t>principal_y [px]</t>
  </si>
  <si>
    <t>Pomiar odległości do wzorca</t>
  </si>
  <si>
    <t>Zmierzony rozmiar wzorca [cm]</t>
  </si>
  <si>
    <t>Rzeczywista odległość od wzorca dla pierwszego zdjęcia [cm]</t>
  </si>
  <si>
    <t>Rozmiar wzorca na pierwszym zdjęciu [px]</t>
  </si>
  <si>
    <t>Obliczona odległość do wzorca na pierwszym zdjęciu [cm]</t>
  </si>
  <si>
    <t>Rzeczywista odległość od wzorca dla drugiego zdjęcia [cm]</t>
  </si>
  <si>
    <t>Rozmiar wzorca na drugim zdjęciu [px]</t>
  </si>
  <si>
    <t>Obliczona odległość do wzorca na drugim zdjęciu [cm]</t>
  </si>
  <si>
    <t>Rzeczywista odległość od wzorca dla trzeciego zdjęcia [cm]</t>
  </si>
  <si>
    <t>Rozmiar wzorca na trzecim zdjęciu [px]</t>
  </si>
  <si>
    <t>Obliczona odległość do wzorca na trzecim zdjęciu [cm]</t>
  </si>
  <si>
    <t>Maksymalna szybkość obiektu dla T=10ms</t>
  </si>
  <si>
    <t>Dla odległości 1m</t>
  </si>
  <si>
    <t>Dla odległości 2m</t>
  </si>
  <si>
    <t>Dla odległości 3m</t>
  </si>
  <si>
    <t>[4284; 5712]</t>
  </si>
  <si>
    <t>0,0745 m/s</t>
  </si>
  <si>
    <t>0,0497 m/s</t>
  </si>
  <si>
    <t>0,0248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</si>
</sst>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EEEEE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2" fontId="3" fillId="5" borderId="2" xfId="0" applyNumberFormat="1" applyFont="1" applyFill="1" applyBorder="1" applyAlignment="1">
      <alignment horizontal="left"/>
    </xf>
    <xf numFmtId="2" fontId="3" fillId="6" borderId="2" xfId="0" applyNumberFormat="1" applyFont="1" applyFill="1" applyBorder="1" applyAlignment="1">
      <alignment horizontal="left"/>
    </xf>
    <xf numFmtId="2" fontId="3" fillId="4" borderId="2" xfId="0" applyNumberFormat="1" applyFont="1" applyFill="1" applyBorder="1" applyAlignment="1">
      <alignment horizontal="left"/>
    </xf>
    <xf numFmtId="0" fontId="0" fillId="7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7"/>
  <sheetViews>
    <sheetView tabSelected="1" zoomScale="110" zoomScaleNormal="110" workbookViewId="0">
      <selection activeCell="B21" sqref="B21"/>
    </sheetView>
  </sheetViews>
  <sheetFormatPr defaultColWidth="8.85546875" defaultRowHeight="15" x14ac:dyDescent="0.25"/>
  <cols>
    <col min="1" max="1" width="52.85546875" bestFit="1" customWidth="1"/>
    <col min="2" max="2" width="30.85546875" bestFit="1" customWidth="1"/>
  </cols>
  <sheetData>
    <row r="1" spans="1:2" ht="18.75" customHeight="1" x14ac:dyDescent="0.25">
      <c r="A1" s="1" t="s">
        <v>0</v>
      </c>
      <c r="B1" s="2"/>
    </row>
    <row r="2" spans="1:2" ht="17.25" customHeight="1" x14ac:dyDescent="0.25">
      <c r="A2" t="s">
        <v>1</v>
      </c>
      <c r="B2" t="s">
        <v>2</v>
      </c>
    </row>
    <row r="3" spans="1:2" ht="17.25" customHeight="1" x14ac:dyDescent="0.25">
      <c r="A3" t="s">
        <v>1</v>
      </c>
      <c r="B3" t="s">
        <v>3</v>
      </c>
    </row>
    <row r="4" spans="1:2" ht="17.25" customHeight="1" x14ac:dyDescent="0.25"/>
    <row r="5" spans="1:2" ht="18" customHeight="1" x14ac:dyDescent="0.25">
      <c r="A5" s="1" t="s">
        <v>4</v>
      </c>
      <c r="B5" s="2"/>
    </row>
    <row r="6" spans="1:2" ht="17.25" customHeight="1" x14ac:dyDescent="0.25">
      <c r="A6" s="3" t="s">
        <v>5</v>
      </c>
      <c r="B6" s="3" t="s">
        <v>6</v>
      </c>
    </row>
    <row r="7" spans="1:2" ht="17.25" customHeight="1" x14ac:dyDescent="0.25">
      <c r="A7" s="3" t="s">
        <v>7</v>
      </c>
      <c r="B7" s="3" t="s">
        <v>27</v>
      </c>
    </row>
    <row r="8" spans="1:2" ht="17.25" customHeight="1" x14ac:dyDescent="0.25">
      <c r="A8" s="3" t="s">
        <v>8</v>
      </c>
      <c r="B8" s="3">
        <v>4025.3</v>
      </c>
    </row>
    <row r="9" spans="1:2" ht="17.25" customHeight="1" x14ac:dyDescent="0.25">
      <c r="A9" s="3" t="s">
        <v>9</v>
      </c>
      <c r="B9" s="3">
        <v>4024.8</v>
      </c>
    </row>
    <row r="10" spans="1:2" ht="17.25" customHeight="1" x14ac:dyDescent="0.25">
      <c r="A10" s="3" t="s">
        <v>10</v>
      </c>
      <c r="B10" s="3">
        <v>2845.8</v>
      </c>
    </row>
    <row r="11" spans="1:2" ht="17.25" customHeight="1" x14ac:dyDescent="0.25">
      <c r="A11" s="3" t="s">
        <v>11</v>
      </c>
      <c r="B11" s="3">
        <v>2148.1999999999998</v>
      </c>
    </row>
    <row r="12" spans="1:2" ht="18" customHeight="1" x14ac:dyDescent="0.25">
      <c r="A12" s="1" t="s">
        <v>12</v>
      </c>
      <c r="B12" s="2"/>
    </row>
    <row r="13" spans="1:2" ht="17.25" customHeight="1" x14ac:dyDescent="0.25">
      <c r="A13" s="3" t="s">
        <v>13</v>
      </c>
      <c r="B13" s="3">
        <v>24.2</v>
      </c>
    </row>
    <row r="14" spans="1:2" ht="17.25" customHeight="1" x14ac:dyDescent="0.25">
      <c r="A14" s="4" t="s">
        <v>14</v>
      </c>
      <c r="B14" s="5">
        <v>50</v>
      </c>
    </row>
    <row r="15" spans="1:2" ht="17.25" customHeight="1" thickBot="1" x14ac:dyDescent="0.3">
      <c r="A15" s="4" t="s">
        <v>15</v>
      </c>
      <c r="B15" s="7">
        <v>2289.1356999999998</v>
      </c>
    </row>
    <row r="16" spans="1:2" ht="17.25" customHeight="1" thickBot="1" x14ac:dyDescent="0.3">
      <c r="A16" s="6" t="s">
        <v>16</v>
      </c>
      <c r="B16" s="14">
        <f>($B$8*$B$13)/B15</f>
        <v>42.554165749107838</v>
      </c>
    </row>
    <row r="17" spans="1:3" ht="17.25" customHeight="1" x14ac:dyDescent="0.25">
      <c r="A17" s="3" t="s">
        <v>17</v>
      </c>
      <c r="B17" s="8">
        <v>100</v>
      </c>
    </row>
    <row r="18" spans="1:3" ht="17.25" customHeight="1" thickBot="1" x14ac:dyDescent="0.3">
      <c r="A18" s="3" t="s">
        <v>18</v>
      </c>
      <c r="B18" s="10">
        <v>1070.0353</v>
      </c>
    </row>
    <row r="19" spans="1:3" ht="17.25" customHeight="1" thickBot="1" x14ac:dyDescent="0.3">
      <c r="A19" s="9" t="s">
        <v>19</v>
      </c>
      <c r="B19" s="15">
        <f>($B$8*$B$13)/B18</f>
        <v>91.036491973676007</v>
      </c>
    </row>
    <row r="20" spans="1:3" ht="17.25" customHeight="1" x14ac:dyDescent="0.25">
      <c r="A20" s="4" t="s">
        <v>20</v>
      </c>
      <c r="B20" s="11">
        <v>150</v>
      </c>
    </row>
    <row r="21" spans="1:3" ht="18.75" customHeight="1" thickBot="1" x14ac:dyDescent="0.3">
      <c r="A21" s="4" t="s">
        <v>21</v>
      </c>
      <c r="B21" s="12">
        <v>630.04870000000005</v>
      </c>
    </row>
    <row r="22" spans="1:3" ht="18.75" customHeight="1" thickBot="1" x14ac:dyDescent="0.3">
      <c r="A22" s="6" t="s">
        <v>22</v>
      </c>
      <c r="B22" s="16">
        <f>($B$8*$B$13)/B21</f>
        <v>154.6106832694044</v>
      </c>
    </row>
    <row r="23" spans="1:3" ht="18.75" customHeight="1" x14ac:dyDescent="0.25">
      <c r="A23" s="1" t="s">
        <v>23</v>
      </c>
      <c r="B23" s="13"/>
    </row>
    <row r="24" spans="1:3" ht="18.75" customHeight="1" x14ac:dyDescent="0.25">
      <c r="A24" s="4" t="s">
        <v>24</v>
      </c>
      <c r="B24" s="4" t="s">
        <v>30</v>
      </c>
      <c r="C24" s="17">
        <f>1/($B$8*0.01)</f>
        <v>2.4842868854495315E-2</v>
      </c>
    </row>
    <row r="25" spans="1:3" ht="18.75" customHeight="1" x14ac:dyDescent="0.25">
      <c r="A25" s="3" t="s">
        <v>25</v>
      </c>
      <c r="B25" s="3" t="s">
        <v>29</v>
      </c>
      <c r="C25" s="17">
        <f>2/($B$8*0.01)</f>
        <v>4.9685737708990631E-2</v>
      </c>
    </row>
    <row r="26" spans="1:3" ht="18.75" customHeight="1" x14ac:dyDescent="0.25">
      <c r="A26" s="4" t="s">
        <v>26</v>
      </c>
      <c r="B26" s="4" t="s">
        <v>28</v>
      </c>
      <c r="C26" s="17">
        <f>3/($B$8*0.01)</f>
        <v>7.452860656348595E-2</v>
      </c>
    </row>
    <row r="27" spans="1:3" ht="20.85" customHeight="1" x14ac:dyDescent="0.25"/>
    <row r="28" spans="1:3" ht="20.85" customHeight="1" x14ac:dyDescent="0.25"/>
    <row r="29" spans="1:3" ht="20.85" customHeight="1" x14ac:dyDescent="0.25"/>
    <row r="30" spans="1:3" ht="20.85" customHeight="1" x14ac:dyDescent="0.25"/>
    <row r="31" spans="1:3" ht="20.85" customHeight="1" x14ac:dyDescent="0.25"/>
    <row r="32" spans="1:3" ht="20.85" customHeight="1" x14ac:dyDescent="0.25"/>
    <row r="33" ht="20.85" customHeight="1" x14ac:dyDescent="0.25"/>
    <row r="34" ht="20.85" customHeight="1" x14ac:dyDescent="0.25"/>
    <row r="35" ht="20.85" customHeight="1" x14ac:dyDescent="0.25"/>
    <row r="36" ht="20.85" customHeight="1" x14ac:dyDescent="0.25"/>
    <row r="37" ht="20.85" customHeight="1" x14ac:dyDescent="0.25"/>
    <row r="38" ht="20.85" customHeight="1" x14ac:dyDescent="0.25"/>
    <row r="39" ht="20.85" customHeight="1" x14ac:dyDescent="0.25"/>
    <row r="40" ht="20.85" customHeight="1" x14ac:dyDescent="0.25"/>
    <row r="41" ht="20.85" customHeight="1" x14ac:dyDescent="0.25"/>
    <row r="42" ht="20.85" customHeight="1" x14ac:dyDescent="0.25"/>
    <row r="43" ht="20.85" customHeight="1" x14ac:dyDescent="0.25"/>
    <row r="44" ht="20.85" customHeight="1" x14ac:dyDescent="0.25"/>
    <row r="45" ht="20.85" customHeight="1" x14ac:dyDescent="0.25"/>
    <row r="46" ht="20.85" customHeight="1" x14ac:dyDescent="0.25"/>
    <row r="47" ht="20.8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Walczak Piotr 5 (STUD)</cp:lastModifiedBy>
  <dcterms:created xsi:type="dcterms:W3CDTF">2026-03-01T13:45:36Z</dcterms:created>
  <dcterms:modified xsi:type="dcterms:W3CDTF">2026-03-12T20:48:08Z</dcterms:modified>
</cp:coreProperties>
</file>